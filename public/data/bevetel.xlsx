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aptábla I.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<sst xmlns="http://schemas.openxmlformats.org/spreadsheetml/2006/main" count="9" uniqueCount="9">
  <si>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Év</t>
  </si>
  <si>
    <t xml:space="preserve">Összes bevétel (eFt)</t>
  </si>
  <si>
    <t xml:space="preserve">Állami támogatás (eFt)</t>
  </si>
  <si>
    <t xml:space="preserve">Közhatalmi bevétel (eFt)</t>
  </si>
  <si>
    <t xml:space="preserve">Iparűzési adó (eFt)</t>
  </si>
  <si>
    <t xml:space="preserve">Építményadó (eFt)</t>
  </si>
  <si>
    <t xml:space="preserve">Telekadó (eFt)</t>
  </si>
  <si>
    <t xml:space="preserve">Működési bevétel (eFt)</t>
  </si>
  <si>
    <t xml:space="preserve">Átvett pénzeszközök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</si>
</sst>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2" activeCellId="0" sqref="A12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3" min="2" style="1" width="22.84"/>
    <col collapsed="false" customWidth="true" hidden="false" outlineLevel="0" max="4" min="4" style="1" width="24.84"/>
    <col collapsed="false" customWidth="true" hidden="false" outlineLevel="0" max="5" min="5" style="1" width="20.84"/>
    <col collapsed="false" customWidth="true" hidden="false" outlineLevel="0" max="6" min="6" style="1" width="18.83"/>
    <col collapsed="false" customWidth="true" hidden="false" outlineLevel="0" max="7" min="7" style="1" width="16.84"/>
    <col collapsed="false" customWidth="true" hidden="false" outlineLevel="0" max="8" min="8" style="1" width="22.84"/>
    <col collapsed="false" customWidth="true" hidden="false" outlineLevel="0" max="9" min="9" style="1" width="24.8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1" t="n">
        <v>2017</v>
      </c>
      <c r="B2" s="1" t="n">
        <v>67.67</v>
      </c>
      <c r="C2" s="1" t="n">
        <v>26.33</v>
      </c>
      <c r="D2" s="1" t="n">
        <v>26.91</v>
      </c>
      <c r="E2" s="1" t="n">
        <v>7.02</v>
      </c>
      <c r="F2" s="1" t="n">
        <v>11.93</v>
      </c>
      <c r="G2" s="1" t="n">
        <v>3.12</v>
      </c>
      <c r="H2" s="1" t="n">
        <v>14.43</v>
      </c>
      <c r="I2" s="1" t="n">
        <v>0</v>
      </c>
    </row>
    <row r="3" customFormat="false" ht="15" hidden="false" customHeight="false" outlineLevel="0" collapsed="false">
      <c r="A3" s="1" t="n">
        <v>2018</v>
      </c>
      <c r="B3" s="1" t="n">
        <v>67.42</v>
      </c>
      <c r="C3" s="1" t="n">
        <v>31.71</v>
      </c>
      <c r="D3" s="1" t="n">
        <v>21.23</v>
      </c>
      <c r="E3" s="1" t="n">
        <v>2.72</v>
      </c>
      <c r="F3" s="1" t="n">
        <v>11.13</v>
      </c>
      <c r="G3" s="1" t="n">
        <v>2.28</v>
      </c>
      <c r="H3" s="1" t="n">
        <v>14.48</v>
      </c>
      <c r="I3" s="1" t="n">
        <v>0</v>
      </c>
    </row>
    <row r="4" customFormat="false" ht="15" hidden="false" customHeight="false" outlineLevel="0" collapsed="false">
      <c r="A4" s="1" t="n">
        <v>2019</v>
      </c>
      <c r="B4" s="2" t="n">
        <v>71.2</v>
      </c>
      <c r="C4" s="2" t="n">
        <v>25.67</v>
      </c>
      <c r="D4" s="2" t="n">
        <v>23.6</v>
      </c>
      <c r="E4" s="2" t="n">
        <v>5.05</v>
      </c>
      <c r="F4" s="2" t="n">
        <v>11.92</v>
      </c>
      <c r="G4" s="2" t="n">
        <v>2.44</v>
      </c>
      <c r="H4" s="2" t="n">
        <v>21.77</v>
      </c>
      <c r="I4" s="2" t="n">
        <v>0.16</v>
      </c>
    </row>
    <row r="5" customFormat="false" ht="15" hidden="false" customHeight="false" outlineLevel="0" collapsed="false">
      <c r="A5" s="1" t="n">
        <v>2020</v>
      </c>
      <c r="B5" s="2" t="n">
        <v>83.19</v>
      </c>
      <c r="C5" s="2" t="n">
        <v>30.46</v>
      </c>
      <c r="D5" s="2" t="n">
        <v>24.48</v>
      </c>
      <c r="E5" s="2" t="n">
        <v>9.39</v>
      </c>
      <c r="F5" s="2" t="n">
        <v>10.68</v>
      </c>
      <c r="G5" s="2" t="n">
        <v>4.08</v>
      </c>
      <c r="H5" s="2" t="n">
        <v>28.24</v>
      </c>
      <c r="I5" s="2" t="n">
        <v>0.01</v>
      </c>
    </row>
    <row r="6" customFormat="false" ht="15" hidden="false" customHeight="false" outlineLevel="0" collapsed="false">
      <c r="A6" s="1" t="n">
        <v>2021</v>
      </c>
      <c r="B6" s="2" t="n">
        <v>82</v>
      </c>
      <c r="C6" s="2" t="n">
        <v>37.96</v>
      </c>
      <c r="D6" s="2" t="n">
        <v>23.5</v>
      </c>
      <c r="E6" s="2" t="n">
        <v>1.49</v>
      </c>
      <c r="F6" s="2" t="n">
        <v>15.34</v>
      </c>
      <c r="G6" s="2" t="n">
        <v>5.36</v>
      </c>
      <c r="H6" s="2" t="n">
        <v>20.46</v>
      </c>
      <c r="I6" s="2" t="n">
        <v>0.08</v>
      </c>
    </row>
    <row r="7" customFormat="false" ht="15" hidden="false" customHeight="false" outlineLevel="0" collapsed="false">
      <c r="A7" s="1" t="n">
        <v>2022</v>
      </c>
      <c r="B7" s="2" t="n">
        <f aca="false">113.3-28.49-8.86-9.49</f>
        <v>66.46</v>
      </c>
      <c r="C7" s="2" t="n">
        <v>31.81</v>
      </c>
      <c r="D7" s="2" t="n">
        <v>23.08</v>
      </c>
      <c r="E7" s="2" t="n">
        <v>3.98</v>
      </c>
      <c r="F7" s="2" t="n">
        <v>12.3</v>
      </c>
      <c r="G7" s="2" t="n">
        <v>5.68</v>
      </c>
      <c r="H7" s="2" t="n">
        <v>11.57</v>
      </c>
      <c r="I7" s="2" t="n">
        <v>0</v>
      </c>
    </row>
    <row r="8" customFormat="false" ht="15" hidden="false" customHeight="false" outlineLevel="0" collapsed="false">
      <c r="A8" s="1" t="n">
        <v>2023</v>
      </c>
      <c r="B8" s="2" t="n">
        <v>86.72</v>
      </c>
      <c r="C8" s="2" t="n">
        <v>39.56</v>
      </c>
      <c r="D8" s="2" t="n">
        <v>32.82</v>
      </c>
      <c r="E8" s="2" t="n">
        <v>5.91</v>
      </c>
      <c r="F8" s="2" t="n">
        <v>17.81</v>
      </c>
      <c r="G8" s="2" t="n">
        <v>5.75</v>
      </c>
      <c r="H8" s="2" t="n">
        <f aca="false">54.1-40.62</f>
        <v>13.48</v>
      </c>
      <c r="I8" s="2" t="n">
        <v>0.86</v>
      </c>
    </row>
    <row r="9" customFormat="false" ht="15" hidden="false" customHeight="false" outlineLevel="0" collapsed="false">
      <c r="A9" s="1" t="n">
        <v>2024</v>
      </c>
      <c r="B9" s="2" t="n">
        <f aca="false">144.95-11.99-25.63</f>
        <v>107.33</v>
      </c>
      <c r="C9" s="2" t="n">
        <v>33.38</v>
      </c>
      <c r="D9" s="2" t="n">
        <v>58.39</v>
      </c>
      <c r="E9" s="2" t="n">
        <v>20.06</v>
      </c>
      <c r="F9" s="2" t="n">
        <v>26.77</v>
      </c>
      <c r="G9" s="2" t="n">
        <v>8.88</v>
      </c>
      <c r="H9" s="2" t="n">
        <f aca="false">37.49-25.63</f>
        <v>11.86</v>
      </c>
      <c r="I9" s="2" t="n">
        <v>3.7</v>
      </c>
    </row>
    <row r="10" customFormat="false" ht="15" hidden="false" customHeight="false" outlineLevel="0" collapsed="false">
      <c r="A10" s="1" t="n">
        <v>2025</v>
      </c>
      <c r="B10" s="2" t="n">
        <v>112.92</v>
      </c>
      <c r="C10" s="2" t="n">
        <v>29.2</v>
      </c>
      <c r="D10" s="2" t="n">
        <v>73.41</v>
      </c>
      <c r="E10" s="2" t="n">
        <v>15.5</v>
      </c>
      <c r="F10" s="2" t="n">
        <v>41.81</v>
      </c>
      <c r="G10" s="2" t="n">
        <v>13.16</v>
      </c>
      <c r="H10" s="2" t="n">
        <f aca="false">36.53-26.22</f>
        <v>10.31</v>
      </c>
      <c r="I10" s="2" t="n">
        <v>0</v>
      </c>
    </row>
    <row r="11" customFormat="false" ht="15" hidden="false" customHeight="false" outlineLevel="0" collapsed="false">
      <c r="A11" s="1" t="n">
        <v>2026</v>
      </c>
      <c r="B11" s="2" t="n">
        <v>108.07</v>
      </c>
      <c r="C11" s="2" t="n">
        <v>30.83</v>
      </c>
      <c r="D11" s="2" t="n">
        <v>68</v>
      </c>
      <c r="E11" s="2" t="n">
        <v>14</v>
      </c>
      <c r="F11" s="2" t="n">
        <v>40</v>
      </c>
      <c r="G11" s="2" t="n">
        <v>12</v>
      </c>
      <c r="H11" s="2" t="n">
        <f aca="false">37.24-28</f>
        <v>9.24</v>
      </c>
      <c r="I11" s="2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2026-03-11T23:08:54Z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