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aptábla I.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<sst xmlns="http://schemas.openxmlformats.org/spreadsheetml/2006/main" count="14" uniqueCount="14">
  <si>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Év</t>
  </si>
  <si>
    <t xml:space="preserve">Összes működési bevétel (Ft)</t>
  </si>
  <si>
    <t xml:space="preserve">Állami támogatás (Ft)</t>
  </si>
  <si>
    <t xml:space="preserve">Közhatalmi bevétel (Ft)</t>
  </si>
  <si>
    <t xml:space="preserve">Iparűzési adó (Ft)</t>
  </si>
  <si>
    <t xml:space="preserve">Építményadó (Ft)</t>
  </si>
  <si>
    <t xml:space="preserve">Telekadó (Ft)</t>
  </si>
  <si>
    <t xml:space="preserve">Működési bevétel (Ft)</t>
  </si>
  <si>
    <t xml:space="preserve">Működési átvett pe (Ft)</t>
  </si>
  <si>
    <t xml:space="preserve">Idegenforgalmi adó (Ft)</t>
  </si>
  <si>
    <t xml:space="preserve">Felhalmozási bevételek (Ft)</t>
  </si>
  <si>
    <t xml:space="preserve">Felhalmozási ÁHT (Ft)</t>
  </si>
  <si>
    <t xml:space="preserve">Saját vagyon értékesítése (Ft)</t>
  </si>
  <si>
    <t xml:space="preserve">Felhalmozási átvett pe (Ft)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</si>
</sst>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8.83"/>
    <col collapsed="false" customWidth="true" hidden="false" outlineLevel="0" max="2" min="2" style="1" width="25.1"/>
    <col collapsed="false" customWidth="true" hidden="false" outlineLevel="0" max="3" min="3" style="1" width="22.84"/>
    <col collapsed="false" customWidth="true" hidden="false" outlineLevel="0" max="4" min="4" style="1" width="24.84"/>
    <col collapsed="false" customWidth="true" hidden="false" outlineLevel="0" max="5" min="5" style="1" width="20.84"/>
    <col collapsed="false" customWidth="true" hidden="false" outlineLevel="0" max="6" min="6" style="1" width="18.83"/>
    <col collapsed="false" customWidth="true" hidden="false" outlineLevel="0" max="7" min="7" style="1" width="16.84"/>
    <col collapsed="false" customWidth="true" hidden="false" outlineLevel="0" max="8" min="8" style="1" width="22.84"/>
    <col collapsed="false" customWidth="true" hidden="false" outlineLevel="0" max="9" min="9" style="1" width="20.54"/>
    <col collapsed="false" customWidth="true" hidden="false" outlineLevel="0" max="10" min="10" style="1" width="20.93"/>
    <col collapsed="false" customWidth="true" hidden="false" outlineLevel="0" max="11" min="11" style="1" width="23.83"/>
    <col collapsed="false" customWidth="true" hidden="false" outlineLevel="0" max="12" min="12" style="1" width="27.25"/>
    <col collapsed="false" customWidth="true" hidden="false" outlineLevel="0" max="13" min="13" style="1" width="25.6"/>
    <col collapsed="false" customWidth="true" hidden="false" outlineLevel="0" max="14" min="14" style="1" width="23.21"/>
    <col collapsed="false" customWidth="true" hidden="false" outlineLevel="0" max="15" min="15" style="0" width="9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2017</v>
      </c>
      <c r="B2" s="1" t="n">
        <f aca="false">121198591-11700000-839791-38457564-2530617</f>
        <v>67670619</v>
      </c>
      <c r="C2" s="1" t="n">
        <v>26334068</v>
      </c>
      <c r="D2" s="1" t="n">
        <v>26910522</v>
      </c>
      <c r="E2" s="1" t="n">
        <v>7015567</v>
      </c>
      <c r="F2" s="1" t="n">
        <v>11933443</v>
      </c>
      <c r="G2" s="1" t="n">
        <v>3124487</v>
      </c>
      <c r="H2" s="1" t="n">
        <f aca="false">15265820-839791</f>
        <v>14426029</v>
      </c>
      <c r="I2" s="1" t="n">
        <v>0</v>
      </c>
      <c r="J2" s="1" t="n">
        <v>282300</v>
      </c>
      <c r="K2" s="1" t="n">
        <f aca="false">L2+M2+N2</f>
        <v>52688181</v>
      </c>
      <c r="L2" s="1" t="n">
        <v>11700000</v>
      </c>
      <c r="M2" s="1" t="n">
        <v>38457564</v>
      </c>
      <c r="N2" s="1" t="n">
        <v>2530617</v>
      </c>
    </row>
    <row r="3" customFormat="false" ht="15" hidden="false" customHeight="false" outlineLevel="0" collapsed="false">
      <c r="A3" s="1" t="n">
        <v>2018</v>
      </c>
      <c r="B3" s="1" t="n">
        <f aca="false">110415338-0-41572048-1416102</f>
        <v>67427188</v>
      </c>
      <c r="C3" s="1" t="n">
        <v>31711597</v>
      </c>
      <c r="D3" s="1" t="n">
        <v>21231694</v>
      </c>
      <c r="E3" s="1" t="n">
        <v>2723241</v>
      </c>
      <c r="F3" s="1" t="n">
        <v>11129718</v>
      </c>
      <c r="G3" s="1" t="n">
        <v>2280533</v>
      </c>
      <c r="H3" s="1" t="n">
        <f aca="false">15899999-1416102</f>
        <v>14483897</v>
      </c>
      <c r="I3" s="1" t="n">
        <v>0</v>
      </c>
      <c r="J3" s="1" t="n">
        <v>604700</v>
      </c>
      <c r="K3" s="1" t="n">
        <f aca="false">L3+M3+N3</f>
        <v>53763606</v>
      </c>
      <c r="L3" s="1" t="n">
        <v>12191558</v>
      </c>
      <c r="M3" s="1" t="n">
        <v>41572048</v>
      </c>
      <c r="N3" s="1" t="n">
        <v>0</v>
      </c>
    </row>
    <row r="4" customFormat="false" ht="15" hidden="false" customHeight="false" outlineLevel="0" collapsed="false">
      <c r="A4" s="1" t="n">
        <v>2019</v>
      </c>
      <c r="B4" s="2" t="n">
        <f aca="false">148322646-7500000-66501969-3120156</f>
        <v>71200521</v>
      </c>
      <c r="C4" s="2" t="n">
        <v>25666036</v>
      </c>
      <c r="D4" s="2" t="n">
        <v>23595151</v>
      </c>
      <c r="E4" s="2" t="n">
        <v>5046225</v>
      </c>
      <c r="F4" s="2" t="n">
        <v>11917136</v>
      </c>
      <c r="G4" s="2" t="n">
        <v>2436478</v>
      </c>
      <c r="H4" s="2" t="n">
        <f aca="false">24893363-3120156</f>
        <v>21773207</v>
      </c>
      <c r="I4" s="2" t="n">
        <v>166127</v>
      </c>
      <c r="J4" s="1" t="n">
        <v>224000</v>
      </c>
      <c r="K4" s="1" t="n">
        <f aca="false">L4+M4+N4</f>
        <v>74001969</v>
      </c>
      <c r="L4" s="1" t="n">
        <v>7500000</v>
      </c>
      <c r="M4" s="1" t="n">
        <v>66501969</v>
      </c>
      <c r="N4" s="1" t="n">
        <v>0</v>
      </c>
    </row>
    <row r="5" customFormat="false" ht="15" hidden="false" customHeight="false" outlineLevel="0" collapsed="false">
      <c r="A5" s="1" t="n">
        <v>2020</v>
      </c>
      <c r="B5" s="2" t="n">
        <f aca="false">173957972-17999588-69331496-3440193</f>
        <v>83186695</v>
      </c>
      <c r="C5" s="2" t="n">
        <v>30454735</v>
      </c>
      <c r="D5" s="2" t="n">
        <v>24477156</v>
      </c>
      <c r="E5" s="2" t="n">
        <v>9395011</v>
      </c>
      <c r="F5" s="2" t="n">
        <v>10682195</v>
      </c>
      <c r="G5" s="2" t="n">
        <v>4082881</v>
      </c>
      <c r="H5" s="2" t="n">
        <f aca="false">31680700-3440193</f>
        <v>28240507</v>
      </c>
      <c r="I5" s="2" t="n">
        <v>14297</v>
      </c>
      <c r="J5" s="1" t="n">
        <v>83700</v>
      </c>
      <c r="K5" s="1" t="n">
        <f aca="false">L5+M5+N5</f>
        <v>87331084</v>
      </c>
      <c r="L5" s="1" t="n">
        <v>17999588</v>
      </c>
      <c r="M5" s="1" t="n">
        <v>69331496</v>
      </c>
      <c r="N5" s="1" t="n">
        <v>0</v>
      </c>
    </row>
    <row r="6" customFormat="false" ht="15" hidden="false" customHeight="false" outlineLevel="0" collapsed="false">
      <c r="A6" s="1" t="n">
        <v>2021</v>
      </c>
      <c r="B6" s="2" t="n">
        <f aca="false">132957791-2500000-44528739-3920238</f>
        <v>82008814</v>
      </c>
      <c r="C6" s="2" t="n">
        <v>37964077</v>
      </c>
      <c r="D6" s="2" t="n">
        <v>23504956</v>
      </c>
      <c r="E6" s="2" t="n">
        <v>1788921</v>
      </c>
      <c r="F6" s="2" t="n">
        <v>15337901</v>
      </c>
      <c r="G6" s="2" t="n">
        <v>5362346</v>
      </c>
      <c r="H6" s="2" t="n">
        <f aca="false">24382441-3920238</f>
        <v>20462203</v>
      </c>
      <c r="I6" s="2" t="n">
        <v>77578</v>
      </c>
      <c r="J6" s="1" t="n">
        <v>493700</v>
      </c>
      <c r="K6" s="1" t="n">
        <f aca="false">L6+M6+N6</f>
        <v>47028739</v>
      </c>
      <c r="L6" s="1" t="n">
        <v>2500000</v>
      </c>
      <c r="M6" s="1" t="n">
        <v>44528739</v>
      </c>
      <c r="N6" s="1" t="n">
        <v>0</v>
      </c>
    </row>
    <row r="7" customFormat="false" ht="15" hidden="false" customHeight="false" outlineLevel="0" collapsed="false">
      <c r="A7" s="1" t="n">
        <v>2022</v>
      </c>
      <c r="B7" s="2" t="n">
        <f aca="false">113284888-28487952-8858268-9488674</f>
        <v>66449994</v>
      </c>
      <c r="C7" s="2" t="n">
        <v>31805701</v>
      </c>
      <c r="D7" s="2" t="n">
        <v>23076067</v>
      </c>
      <c r="E7" s="2" t="n">
        <v>3974820</v>
      </c>
      <c r="F7" s="2" t="n">
        <v>12601660</v>
      </c>
      <c r="G7" s="2" t="n">
        <v>5683552</v>
      </c>
      <c r="H7" s="2" t="n">
        <f aca="false">21056900-9488674</f>
        <v>11568226</v>
      </c>
      <c r="I7" s="2" t="n">
        <v>0</v>
      </c>
      <c r="J7" s="1" t="n">
        <v>636700</v>
      </c>
      <c r="K7" s="1" t="n">
        <f aca="false">L7+M7+N7</f>
        <v>37346220</v>
      </c>
      <c r="L7" s="1" t="n">
        <v>28487952</v>
      </c>
      <c r="M7" s="1" t="n">
        <v>8858268</v>
      </c>
      <c r="N7" s="1" t="n">
        <v>0</v>
      </c>
    </row>
    <row r="8" customFormat="false" ht="15" hidden="false" customHeight="false" outlineLevel="0" collapsed="false">
      <c r="A8" s="1" t="n">
        <v>2023</v>
      </c>
      <c r="B8" s="2" t="n">
        <f aca="false">146142168-15374530-3427165-40615718</f>
        <v>86724755</v>
      </c>
      <c r="C8" s="2" t="n">
        <v>39555871</v>
      </c>
      <c r="D8" s="2" t="n">
        <v>32820032</v>
      </c>
      <c r="E8" s="2" t="n">
        <v>5903679</v>
      </c>
      <c r="F8" s="2" t="n">
        <v>19090971</v>
      </c>
      <c r="G8" s="2" t="n">
        <v>5912265</v>
      </c>
      <c r="H8" s="2" t="n">
        <f aca="false">54095370-40615718</f>
        <v>13479652</v>
      </c>
      <c r="I8" s="2" t="n">
        <v>869200</v>
      </c>
      <c r="J8" s="1" t="n">
        <v>931200</v>
      </c>
      <c r="K8" s="1" t="n">
        <f aca="false">L8+M8+N8</f>
        <v>18801695</v>
      </c>
      <c r="L8" s="1" t="n">
        <v>15374530</v>
      </c>
      <c r="M8" s="1" t="n">
        <v>3427165</v>
      </c>
      <c r="N8" s="1" t="n">
        <v>0</v>
      </c>
    </row>
    <row r="9" customFormat="false" ht="15" hidden="false" customHeight="false" outlineLevel="0" collapsed="false">
      <c r="A9" s="1" t="n">
        <v>2024</v>
      </c>
      <c r="B9" s="2" t="n">
        <f aca="false">144940534-25629106-K9</f>
        <v>107324952</v>
      </c>
      <c r="C9" s="2" t="n">
        <v>33375164</v>
      </c>
      <c r="D9" s="2" t="n">
        <v>58392183</v>
      </c>
      <c r="E9" s="2" t="n">
        <v>20065357</v>
      </c>
      <c r="F9" s="2" t="n">
        <v>26768278</v>
      </c>
      <c r="G9" s="2" t="n">
        <v>8879603</v>
      </c>
      <c r="H9" s="2" t="n">
        <f aca="false">37487833-25629106</f>
        <v>11858727</v>
      </c>
      <c r="I9" s="2" t="n">
        <v>3698878</v>
      </c>
      <c r="J9" s="1" t="n">
        <v>2303479</v>
      </c>
      <c r="K9" s="1" t="n">
        <f aca="false">L9+M9+N9</f>
        <v>11986476</v>
      </c>
      <c r="L9" s="1" t="n">
        <v>0</v>
      </c>
      <c r="M9" s="1" t="n">
        <v>11986476</v>
      </c>
      <c r="N9" s="1" t="n">
        <v>0</v>
      </c>
    </row>
    <row r="10" customFormat="false" ht="15" hidden="false" customHeight="false" outlineLevel="0" collapsed="false">
      <c r="A10" s="1" t="n">
        <v>2025</v>
      </c>
      <c r="B10" s="2" t="n">
        <f aca="false">149429601-26216030-K10</f>
        <v>112913913</v>
      </c>
      <c r="C10" s="2" t="n">
        <v>29198560</v>
      </c>
      <c r="D10" s="2" t="n">
        <v>73405957</v>
      </c>
      <c r="E10" s="2" t="n">
        <v>15504583</v>
      </c>
      <c r="F10" s="2" t="n">
        <v>41814896</v>
      </c>
      <c r="G10" s="2" t="n">
        <v>13162678</v>
      </c>
      <c r="H10" s="2" t="n">
        <f aca="false">36525426-26216030</f>
        <v>10309396</v>
      </c>
      <c r="I10" s="2" t="n">
        <v>0</v>
      </c>
      <c r="J10" s="1" t="n">
        <v>1983900</v>
      </c>
      <c r="K10" s="1" t="n">
        <f aca="false">L10+M10+N10</f>
        <v>10299658</v>
      </c>
      <c r="L10" s="1" t="n">
        <v>5692935</v>
      </c>
      <c r="M10" s="1" t="n">
        <v>4606723</v>
      </c>
      <c r="N10" s="1" t="n">
        <v>0</v>
      </c>
    </row>
    <row r="11" customFormat="false" ht="15" hidden="false" customHeight="false" outlineLevel="0" collapsed="false">
      <c r="A11" s="1" t="n">
        <v>2026</v>
      </c>
      <c r="B11" s="2" t="n">
        <f aca="false">182599473-28000000-K11</f>
        <v>108072979</v>
      </c>
      <c r="C11" s="2" t="n">
        <v>30830499</v>
      </c>
      <c r="D11" s="2" t="n">
        <v>68000000</v>
      </c>
      <c r="E11" s="2" t="n">
        <v>14000000</v>
      </c>
      <c r="F11" s="2" t="n">
        <v>40000000</v>
      </c>
      <c r="G11" s="2" t="n">
        <v>12000000</v>
      </c>
      <c r="H11" s="2" t="n">
        <f aca="false">37242480-28000000</f>
        <v>9242480</v>
      </c>
      <c r="I11" s="2" t="n">
        <v>0</v>
      </c>
      <c r="J11" s="1" t="n">
        <v>1500000</v>
      </c>
      <c r="K11" s="1" t="n">
        <f aca="false">L11+M11+N11</f>
        <v>46526494</v>
      </c>
      <c r="L11" s="1" t="n">
        <v>46526494</v>
      </c>
      <c r="M11" s="1" t="n">
        <v>0</v>
      </c>
      <c r="N11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2026-05-28T12:34:49Z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