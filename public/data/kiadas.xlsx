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<sst xmlns="http://schemas.openxmlformats.org/spreadsheetml/2006/main" count="8" uniqueCount="8">
  <si>
    <t xml:space="preserve">Év</t>
  </si>
  <si>
    <t xml:space="preserve">Összes kiadás (eFt)</t>
  </si>
  <si>
    <t xml:space="preserve">Személyi jellegű (eFt)</t>
  </si>
  <si>
    <t xml:space="preserve">Munkaadói járulék (eFt)</t>
  </si>
  <si>
    <t xml:space="preserve">Dologi kiadás (eFt)</t>
  </si>
  <si>
    <t xml:space="preserve">Pénzbeni juttatás (eFt)</t>
  </si>
  <si>
    <t xml:space="preserve">Egyéb kiadás (eFt)</t>
  </si>
  <si>
    <t xml:space="preserve">Szolidaritási hozzájárulás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</si>
</sst>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n">
        <v>2017</v>
      </c>
      <c r="B2" s="1" t="n">
        <v>44780000</v>
      </c>
      <c r="C2" s="1" t="n">
        <v>9570000</v>
      </c>
      <c r="D2" s="1" t="n">
        <v>1700000</v>
      </c>
      <c r="E2" s="1" t="n">
        <v>24040000</v>
      </c>
      <c r="F2" s="1" t="n">
        <v>1740000</v>
      </c>
      <c r="G2" s="1" t="n">
        <v>7730000</v>
      </c>
      <c r="H2" s="1" t="n">
        <v>0</v>
      </c>
    </row>
    <row r="3" customFormat="false" ht="15" hidden="false" customHeight="false" outlineLevel="0" collapsed="false">
      <c r="A3" s="1" t="n">
        <v>2018</v>
      </c>
      <c r="B3" s="1" t="n">
        <v>48210000</v>
      </c>
      <c r="C3" s="1" t="n">
        <v>9900000</v>
      </c>
      <c r="D3" s="1" t="n">
        <v>1870000</v>
      </c>
      <c r="E3" s="1" t="n">
        <v>25410000</v>
      </c>
      <c r="F3" s="1" t="n">
        <v>892000</v>
      </c>
      <c r="G3" s="1" t="n">
        <v>10140000</v>
      </c>
      <c r="H3" s="1" t="n">
        <v>0</v>
      </c>
    </row>
    <row r="4" customFormat="false" ht="15" hidden="false" customHeight="false" outlineLevel="0" collapsed="false">
      <c r="A4" s="1" t="n">
        <v>2019</v>
      </c>
      <c r="B4" s="2" t="n">
        <v>68300000</v>
      </c>
      <c r="C4" s="2" t="n">
        <v>11820000</v>
      </c>
      <c r="D4" s="2" t="n">
        <v>2000000</v>
      </c>
      <c r="E4" s="2" t="n">
        <v>39160000</v>
      </c>
      <c r="F4" s="2" t="n">
        <v>2850000</v>
      </c>
      <c r="G4" s="2" t="n">
        <v>12470000</v>
      </c>
      <c r="H4" s="2" t="n">
        <v>0</v>
      </c>
    </row>
    <row r="5" customFormat="false" ht="15" hidden="false" customHeight="false" outlineLevel="0" collapsed="false">
      <c r="A5" s="1" t="n">
        <v>2020</v>
      </c>
      <c r="B5" s="2" t="n">
        <v>64320000</v>
      </c>
      <c r="C5" s="2" t="n">
        <v>16070000</v>
      </c>
      <c r="D5" s="2" t="n">
        <v>2450000</v>
      </c>
      <c r="E5" s="2" t="n">
        <v>31130000</v>
      </c>
      <c r="F5" s="2" t="n">
        <v>2400000</v>
      </c>
      <c r="G5" s="2" t="n">
        <v>12270000</v>
      </c>
      <c r="H5" s="2" t="n">
        <v>0</v>
      </c>
    </row>
    <row r="6" customFormat="false" ht="15" hidden="false" customHeight="false" outlineLevel="0" collapsed="false">
      <c r="A6" s="1" t="n">
        <v>2021</v>
      </c>
      <c r="B6" s="2" t="n">
        <v>84310000</v>
      </c>
      <c r="C6" s="2" t="n">
        <v>16680000</v>
      </c>
      <c r="D6" s="2" t="n">
        <v>2570000</v>
      </c>
      <c r="E6" s="2" t="n">
        <v>49800000</v>
      </c>
      <c r="F6" s="2" t="n">
        <v>2070000</v>
      </c>
      <c r="G6" s="2" t="n">
        <v>13190000</v>
      </c>
      <c r="H6" s="2" t="n">
        <v>0</v>
      </c>
    </row>
    <row r="7" customFormat="false" ht="15" hidden="false" customHeight="false" outlineLevel="0" collapsed="false">
      <c r="A7" s="1" t="n">
        <v>2022</v>
      </c>
      <c r="B7" s="2" t="n">
        <v>85519429</v>
      </c>
      <c r="C7" s="2" t="n">
        <f aca="false">26463106+17938767</f>
        <v>44401873</v>
      </c>
      <c r="D7" s="2" t="n">
        <v>3446518</v>
      </c>
      <c r="E7" s="2" t="n">
        <v>27963929</v>
      </c>
      <c r="F7" s="2" t="n">
        <v>3370000</v>
      </c>
      <c r="G7" s="2" t="n">
        <f aca="false">24275876-17938767</f>
        <v>6337109</v>
      </c>
      <c r="H7" s="2" t="n">
        <v>0</v>
      </c>
    </row>
    <row r="8" customFormat="false" ht="15" hidden="false" customHeight="false" outlineLevel="0" collapsed="false">
      <c r="A8" s="1" t="n">
        <v>2023</v>
      </c>
      <c r="B8" s="2" t="n">
        <v>113460887</v>
      </c>
      <c r="C8" s="2" t="n">
        <f aca="false">25684446+16458894</f>
        <v>42143340</v>
      </c>
      <c r="D8" s="2" t="n">
        <v>3335818</v>
      </c>
      <c r="E8" s="2" t="n">
        <v>49057939</v>
      </c>
      <c r="F8" s="2" t="n">
        <v>2600000</v>
      </c>
      <c r="G8" s="2" t="n">
        <f aca="false">32782684-16458894</f>
        <v>16323790</v>
      </c>
      <c r="H8" s="2" t="n">
        <v>0</v>
      </c>
    </row>
    <row r="9" customFormat="false" ht="15" hidden="false" customHeight="false" outlineLevel="0" collapsed="false">
      <c r="A9" s="1" t="n">
        <v>2024</v>
      </c>
      <c r="B9" s="2" t="n">
        <v>83125704</v>
      </c>
      <c r="C9" s="2" t="n">
        <f aca="false">18958523+19347750</f>
        <v>38306273</v>
      </c>
      <c r="D9" s="2" t="n">
        <v>2581900</v>
      </c>
      <c r="E9" s="2" t="n">
        <v>31738767</v>
      </c>
      <c r="F9" s="2" t="n">
        <v>2780000</v>
      </c>
      <c r="G9" s="2" t="n">
        <f aca="false">27066514-19347750</f>
        <v>7718764</v>
      </c>
      <c r="H9" s="2" t="n">
        <v>0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f aca="false">25152424+25055449</f>
        <v>50207873</v>
      </c>
      <c r="D10" s="2" t="n">
        <v>3235817</v>
      </c>
      <c r="E10" s="2" t="n">
        <v>33602259</v>
      </c>
      <c r="F10" s="2" t="n">
        <v>1345000</v>
      </c>
      <c r="G10" s="2" t="n">
        <f aca="false">33588574-25055449</f>
        <v>8533125</v>
      </c>
      <c r="H10" s="2" t="n">
        <v>7000000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27366246+22046315</f>
        <v>49412561</v>
      </c>
      <c r="D11" s="2" t="n">
        <v>3618703</v>
      </c>
      <c r="E11" s="2" t="n">
        <v>37551668</v>
      </c>
      <c r="F11" s="2" t="n">
        <v>1500000</v>
      </c>
      <c r="G11" s="2" t="n">
        <f aca="false">31246315-22046315</f>
        <v>9200000</v>
      </c>
      <c r="H11" s="2" t="n">
        <v>7000000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2026-03-12T10:46:39Z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