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I. Alaptábl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<sst xmlns="http://schemas.openxmlformats.org/spreadsheetml/2006/main" count="17" uniqueCount="17">
  <si>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 xml:space="preserve">Év</t>
  </si>
  <si>
    <t xml:space="preserve">Összes kiadás (Ft)</t>
  </si>
  <si>
    <t xml:space="preserve">Személyi jellegű (Ft)</t>
  </si>
  <si>
    <t xml:space="preserve">Munkaadói járulék (Ft)</t>
  </si>
  <si>
    <t xml:space="preserve">Dologi kiadás (Ft)</t>
  </si>
  <si>
    <t xml:space="preserve">Pénzbeni juttatás (Ft)</t>
  </si>
  <si>
    <t xml:space="preserve">Egyéb kiadás (Ft)</t>
  </si>
  <si>
    <t xml:space="preserve">Szolidaritási hozzájárulás (Ft)</t>
  </si>
  <si>
    <t xml:space="preserve">Közös Önkormányzati Hivatal (Ft)</t>
  </si>
  <si>
    <t xml:space="preserve">Felhalmozási kiadások (Ft)</t>
  </si>
  <si>
    <t xml:space="preserve">Beruházások (Ft)</t>
  </si>
  <si>
    <t xml:space="preserve">Felújítások (Ft)</t>
  </si>
  <si>
    <t xml:space="preserve">Egyéb felhalmozási (Ft)</t>
  </si>
  <si>
    <t xml:space="preserve">Dologi – közüzemi (Ft)</t>
  </si>
  <si>
    <t xml:space="preserve">Dologi – fenntartás (Ft)</t>
  </si>
  <si>
    <t xml:space="preserve">Infláció (előző évi)</t>
  </si>
  <si>
    <t xml:space="preserve">Infláció (kumulált 2013-tól)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</si>
</sst>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2"/>
      <color theme="1"/>
      <name val="Calibri"/>
      <family val="2"/>
      <charset val="238"/>
    </font>
    <font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1" width="8.83"/>
    <col collapsed="false" customWidth="true" hidden="false" outlineLevel="0" max="4" min="2" style="1" width="22.84"/>
    <col collapsed="false" customWidth="true" hidden="false" outlineLevel="0" max="5" min="5" style="1" width="20.84"/>
    <col collapsed="false" customWidth="true" hidden="false" outlineLevel="0" max="6" min="6" style="1" width="22.84"/>
    <col collapsed="false" customWidth="true" hidden="false" outlineLevel="0" max="7" min="7" style="1" width="18.83"/>
    <col collapsed="false" customWidth="true" hidden="false" outlineLevel="0" max="8" min="8" style="1" width="28.83"/>
    <col collapsed="false" customWidth="true" hidden="false" outlineLevel="0" max="9" min="9" style="1" width="28.65"/>
    <col collapsed="false" customWidth="true" hidden="false" outlineLevel="0" max="10" min="10" style="1" width="22.95"/>
    <col collapsed="false" customWidth="true" hidden="false" outlineLevel="0" max="11" min="11" style="1" width="15.1"/>
    <col collapsed="false" customWidth="true" hidden="false" outlineLevel="0" max="12" min="12" style="1" width="13.45"/>
    <col collapsed="false" customWidth="true" hidden="false" outlineLevel="0" max="13" min="13" style="1" width="20.54"/>
    <col collapsed="false" customWidth="true" hidden="false" outlineLevel="0" max="14" min="14" style="1" width="19.67"/>
    <col collapsed="false" customWidth="true" hidden="false" outlineLevel="0" max="15" min="15" style="1" width="22.57"/>
    <col collapsed="false" customWidth="true" hidden="false" outlineLevel="0" max="16" min="16" style="1" width="16.37"/>
    <col collapsed="false" customWidth="true" hidden="false" outlineLevel="0" max="17" min="17" style="1" width="23.69"/>
    <col collapsed="false" customWidth="true" hidden="false" outlineLevel="0" max="16384" min="16383" style="1" width="10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2017</v>
      </c>
      <c r="B2" s="1" t="n">
        <v>44744281</v>
      </c>
      <c r="C2" s="1" t="n">
        <f aca="false">9574941</f>
        <v>9574941</v>
      </c>
      <c r="D2" s="1" t="n">
        <v>1697031</v>
      </c>
      <c r="E2" s="1" t="n">
        <v>24035629</v>
      </c>
      <c r="F2" s="1" t="n">
        <v>1739540</v>
      </c>
      <c r="G2" s="1" t="n">
        <f aca="false">7697140</f>
        <v>7697140</v>
      </c>
      <c r="H2" s="1" t="n">
        <v>0</v>
      </c>
      <c r="I2" s="1" t="n">
        <v>5286396</v>
      </c>
      <c r="J2" s="1" t="n">
        <f aca="false">K2+L2+M2</f>
        <v>11139415</v>
      </c>
      <c r="K2" s="1" t="n">
        <v>4068489</v>
      </c>
      <c r="L2" s="1" t="n">
        <v>3895587</v>
      </c>
      <c r="M2" s="1" t="n">
        <v>3175339</v>
      </c>
      <c r="N2" s="1" t="n">
        <v>2083423</v>
      </c>
      <c r="O2" s="1" t="n">
        <f aca="false">157812+2182846+482812+431375+106057+0+1736215+31942+435500+3331963+35000+2122340+0+0+0+765344</f>
        <v>11819206</v>
      </c>
      <c r="P2" s="1" t="n">
        <v>0.4</v>
      </c>
      <c r="Q2" s="1" t="n">
        <v>0.1</v>
      </c>
    </row>
    <row r="3" customFormat="false" ht="15" hidden="false" customHeight="false" outlineLevel="0" collapsed="false">
      <c r="A3" s="1" t="n">
        <v>2018</v>
      </c>
      <c r="B3" s="1" t="n">
        <v>48251151</v>
      </c>
      <c r="C3" s="1" t="n">
        <f aca="false">9900246</f>
        <v>9900246</v>
      </c>
      <c r="D3" s="1" t="n">
        <v>1874560</v>
      </c>
      <c r="E3" s="1" t="n">
        <v>25405711</v>
      </c>
      <c r="F3" s="1" t="n">
        <v>892195</v>
      </c>
      <c r="G3" s="1" t="n">
        <f aca="false">10178439</f>
        <v>10178439</v>
      </c>
      <c r="H3" s="1" t="n">
        <v>0</v>
      </c>
      <c r="I3" s="1" t="n">
        <f aca="false">5296550+23317</f>
        <v>5319867</v>
      </c>
      <c r="J3" s="1" t="n">
        <f aca="false">K3+L3+M3</f>
        <v>17220361</v>
      </c>
      <c r="K3" s="1" t="n">
        <v>11270897</v>
      </c>
      <c r="L3" s="1" t="n">
        <v>5827939</v>
      </c>
      <c r="M3" s="1" t="n">
        <v>121525</v>
      </c>
      <c r="N3" s="1" t="n">
        <v>2146354</v>
      </c>
      <c r="O3" s="1" t="n">
        <f aca="false">147068+2244910+506608+331354+0+0+922208+7500+1367660+2423769+35000+1841782+0+0+467498</f>
        <v>10295357</v>
      </c>
      <c r="P3" s="1" t="n">
        <v>2.4</v>
      </c>
      <c r="Q3" s="1" t="n">
        <v>2.5</v>
      </c>
    </row>
    <row r="4" customFormat="false" ht="15" hidden="false" customHeight="false" outlineLevel="0" collapsed="false">
      <c r="A4" s="1" t="n">
        <v>2019</v>
      </c>
      <c r="B4" s="3" t="n">
        <v>68306604</v>
      </c>
      <c r="C4" s="3" t="n">
        <f aca="false">11824225</f>
        <v>11824225</v>
      </c>
      <c r="D4" s="3" t="n">
        <v>2000000</v>
      </c>
      <c r="E4" s="3" t="n">
        <v>39157218</v>
      </c>
      <c r="F4" s="3" t="n">
        <v>2851680</v>
      </c>
      <c r="G4" s="3" t="n">
        <f aca="false">12473481</f>
        <v>12473481</v>
      </c>
      <c r="H4" s="3" t="n">
        <v>0</v>
      </c>
      <c r="I4" s="1" t="n">
        <v>6603459</v>
      </c>
      <c r="J4" s="1" t="n">
        <f aca="false">K4+L4+M4</f>
        <v>29468426</v>
      </c>
      <c r="K4" s="1" t="n">
        <v>8000137</v>
      </c>
      <c r="L4" s="1" t="n">
        <v>19491028</v>
      </c>
      <c r="M4" s="1" t="n">
        <v>1977261</v>
      </c>
      <c r="N4" s="1" t="n">
        <v>2317017</v>
      </c>
      <c r="O4" s="1" t="n">
        <f aca="false">276839+3273940+301385+534802+290960+5042+2275466+113211+1532535+3515934+35000+2118271+76130+0+0+466119</f>
        <v>14815634</v>
      </c>
      <c r="P4" s="1" t="n">
        <v>2.8</v>
      </c>
      <c r="Q4" s="1" t="n">
        <v>5.37</v>
      </c>
    </row>
    <row r="5" customFormat="false" ht="15" hidden="false" customHeight="false" outlineLevel="0" collapsed="false">
      <c r="A5" s="1" t="n">
        <v>2020</v>
      </c>
      <c r="B5" s="3" t="n">
        <v>64319304</v>
      </c>
      <c r="C5" s="3" t="n">
        <f aca="false">16071088</f>
        <v>16071088</v>
      </c>
      <c r="D5" s="3" t="n">
        <v>2451333</v>
      </c>
      <c r="E5" s="3" t="n">
        <v>31132255</v>
      </c>
      <c r="F5" s="3" t="n">
        <v>2395000</v>
      </c>
      <c r="G5" s="3" t="n">
        <f aca="false">12269628</f>
        <v>12269628</v>
      </c>
      <c r="H5" s="3" t="n">
        <v>0</v>
      </c>
      <c r="I5" s="1" t="n">
        <v>6024579</v>
      </c>
      <c r="J5" s="1" t="n">
        <f aca="false">K5+L5+M5</f>
        <v>50690535</v>
      </c>
      <c r="K5" s="1" t="n">
        <v>25642588</v>
      </c>
      <c r="L5" s="1" t="n">
        <v>24948175</v>
      </c>
      <c r="M5" s="1" t="n">
        <v>99772</v>
      </c>
      <c r="N5" s="1" t="n">
        <v>2562572</v>
      </c>
      <c r="O5" s="1" t="n">
        <f aca="false">288097+3287254+50226+636083+436855+0+2946867+7990+2598678+5864401+0+0+3316594+12333+0+0+611495</f>
        <v>20056873</v>
      </c>
      <c r="P5" s="1" t="n">
        <v>3.4</v>
      </c>
      <c r="Q5" s="1" t="n">
        <v>8.95</v>
      </c>
    </row>
    <row r="6" customFormat="false" ht="15" hidden="false" customHeight="false" outlineLevel="0" collapsed="false">
      <c r="A6" s="1" t="n">
        <v>2021</v>
      </c>
      <c r="B6" s="3" t="n">
        <v>84311139</v>
      </c>
      <c r="C6" s="3" t="n">
        <f aca="false">16681801</f>
        <v>16681801</v>
      </c>
      <c r="D6" s="3" t="n">
        <v>2568798</v>
      </c>
      <c r="E6" s="3" t="n">
        <v>49801716</v>
      </c>
      <c r="F6" s="3" t="n">
        <v>2065000</v>
      </c>
      <c r="G6" s="3" t="n">
        <f aca="false">13193824</f>
        <v>13193824</v>
      </c>
      <c r="H6" s="3" t="n">
        <v>0</v>
      </c>
      <c r="I6" s="1" t="n">
        <v>8196731</v>
      </c>
      <c r="J6" s="1" t="n">
        <f aca="false">K6+L6+M6</f>
        <v>24654415</v>
      </c>
      <c r="K6" s="1" t="n">
        <v>23876189</v>
      </c>
      <c r="L6" s="1" t="n">
        <v>292223</v>
      </c>
      <c r="M6" s="1" t="n">
        <v>486003</v>
      </c>
      <c r="N6" s="1" t="n">
        <v>2761395</v>
      </c>
      <c r="O6" s="1" t="n">
        <f aca="false">141147+2787894+0+395223+398330+2662109+0+2946277+8763961+4510+0+273193+1217+720460</f>
        <v>19094321</v>
      </c>
      <c r="P6" s="1" t="n">
        <v>3.3</v>
      </c>
      <c r="Q6" s="1" t="n">
        <v>12.55</v>
      </c>
    </row>
    <row r="7" customFormat="false" ht="15" hidden="false" customHeight="false" outlineLevel="0" collapsed="false">
      <c r="A7" s="1" t="n">
        <v>2022</v>
      </c>
      <c r="B7" s="3" t="n">
        <v>85519429</v>
      </c>
      <c r="C7" s="3" t="n">
        <f aca="false">26463106</f>
        <v>26463106</v>
      </c>
      <c r="D7" s="3" t="n">
        <v>3446518</v>
      </c>
      <c r="E7" s="3" t="n">
        <v>27963929</v>
      </c>
      <c r="F7" s="3" t="n">
        <v>3370000</v>
      </c>
      <c r="G7" s="3" t="n">
        <f aca="false">24275876</f>
        <v>24275876</v>
      </c>
      <c r="H7" s="3" t="n">
        <v>0</v>
      </c>
      <c r="I7" s="1" t="n">
        <v>12263381</v>
      </c>
      <c r="J7" s="1" t="n">
        <f aca="false">K7+L7+M7</f>
        <v>27934766</v>
      </c>
      <c r="K7" s="1" t="n">
        <v>25788303</v>
      </c>
      <c r="L7" s="1" t="n">
        <v>1929869</v>
      </c>
      <c r="M7" s="1" t="n">
        <v>216594</v>
      </c>
      <c r="N7" s="1" t="n">
        <v>4686024</v>
      </c>
      <c r="O7" s="1" t="n">
        <f aca="false">293585+4229961+466364+365311+1600979+0+2893063+5967702+57467+0+3565455+729018</f>
        <v>20168905</v>
      </c>
      <c r="P7" s="1" t="n">
        <v>5.1</v>
      </c>
      <c r="Q7" s="1" t="n">
        <v>18.29</v>
      </c>
    </row>
    <row r="8" customFormat="false" ht="15" hidden="false" customHeight="false" outlineLevel="0" collapsed="false">
      <c r="A8" s="1" t="n">
        <v>2023</v>
      </c>
      <c r="B8" s="3" t="n">
        <v>113460887</v>
      </c>
      <c r="C8" s="3" t="n">
        <f aca="false">25684446</f>
        <v>25684446</v>
      </c>
      <c r="D8" s="3" t="n">
        <v>3335818</v>
      </c>
      <c r="E8" s="3" t="n">
        <v>49057939</v>
      </c>
      <c r="F8" s="3" t="n">
        <v>2600000</v>
      </c>
      <c r="G8" s="3" t="n">
        <f aca="false">32782684</f>
        <v>32782684</v>
      </c>
      <c r="H8" s="3" t="n">
        <v>0</v>
      </c>
      <c r="I8" s="1" t="n">
        <v>13800168</v>
      </c>
      <c r="J8" s="1" t="n">
        <f aca="false">K8+L8+M8</f>
        <v>39637850</v>
      </c>
      <c r="K8" s="1" t="n">
        <v>36338404</v>
      </c>
      <c r="L8" s="1" t="n">
        <v>0</v>
      </c>
      <c r="M8" s="1" t="n">
        <v>3299446</v>
      </c>
      <c r="N8" s="1" t="n">
        <f aca="false">6468216+770431+120339</f>
        <v>7358986</v>
      </c>
      <c r="O8" s="1" t="n">
        <f aca="false">125947+3272646+436954+429086+1629820+2598096+9894190+57719+4291406+976458</f>
        <v>23712322</v>
      </c>
      <c r="P8" s="1" t="n">
        <v>14.5</v>
      </c>
      <c r="Q8" s="1" t="n">
        <v>35.44</v>
      </c>
    </row>
    <row r="9" customFormat="false" ht="15" hidden="false" customHeight="false" outlineLevel="0" collapsed="false">
      <c r="A9" s="1" t="n">
        <v>2024</v>
      </c>
      <c r="B9" s="3" t="n">
        <v>83125704</v>
      </c>
      <c r="C9" s="3" t="n">
        <f aca="false">18958523</f>
        <v>18958523</v>
      </c>
      <c r="D9" s="3" t="n">
        <v>2581900</v>
      </c>
      <c r="E9" s="3" t="n">
        <v>31738767</v>
      </c>
      <c r="F9" s="3" t="n">
        <v>2780000</v>
      </c>
      <c r="G9" s="3" t="n">
        <f aca="false">27066514</f>
        <v>27066514</v>
      </c>
      <c r="H9" s="3" t="n">
        <v>0</v>
      </c>
      <c r="I9" s="1" t="n">
        <v>15886054</v>
      </c>
      <c r="J9" s="1" t="n">
        <f aca="false">K9+L9+M9</f>
        <v>39699003</v>
      </c>
      <c r="K9" s="1" t="n">
        <v>33699468</v>
      </c>
      <c r="L9" s="1" t="n">
        <v>0</v>
      </c>
      <c r="M9" s="1" t="n">
        <v>5999535</v>
      </c>
      <c r="N9" s="1" t="n">
        <f aca="false">3527309+1695044+314751</f>
        <v>5537104</v>
      </c>
      <c r="O9" s="1" t="n">
        <f aca="false">107838+3235865+116234+1468998+528000+440270++2232525+381899+2672256+6270847+176000+120000+0+793386+0+4007461+0+0+245598+885933</f>
        <v>23683110</v>
      </c>
      <c r="P9" s="1" t="n">
        <v>17.6</v>
      </c>
      <c r="Q9" s="1" t="n">
        <v>59.28</v>
      </c>
    </row>
    <row r="10" customFormat="false" ht="15" hidden="false" customHeight="false" outlineLevel="0" collapsed="false">
      <c r="A10" s="1" t="n">
        <v>2025</v>
      </c>
      <c r="B10" s="3" t="n">
        <v>97241700</v>
      </c>
      <c r="C10" s="3" t="n">
        <f aca="false">25152426</f>
        <v>25152426</v>
      </c>
      <c r="D10" s="3" t="n">
        <v>3235817</v>
      </c>
      <c r="E10" s="3" t="n">
        <v>33919883</v>
      </c>
      <c r="F10" s="3" t="n">
        <v>1345000</v>
      </c>
      <c r="G10" s="3" t="n">
        <f aca="false">33588574</f>
        <v>33588574</v>
      </c>
      <c r="H10" s="3" t="n">
        <v>7000000</v>
      </c>
      <c r="I10" s="1" t="n">
        <f aca="false">17438500+4201205</f>
        <v>21639705</v>
      </c>
      <c r="J10" s="1" t="n">
        <f aca="false">K10+L10+M10</f>
        <v>30477184</v>
      </c>
      <c r="K10" s="1" t="n">
        <v>28900792</v>
      </c>
      <c r="L10" s="1" t="n">
        <v>1551392</v>
      </c>
      <c r="M10" s="1" t="n">
        <v>25000</v>
      </c>
      <c r="N10" s="1" t="n">
        <f aca="false">2854290+2336363+274173</f>
        <v>5464826</v>
      </c>
      <c r="O10" s="1" t="n">
        <f aca="false">211447+2839104+396549+376183+2434388+0+4420536+0+4200029+800000+817770+3911564+0+0+90928+769899</f>
        <v>21268397</v>
      </c>
      <c r="P10" s="1" t="n">
        <v>3.7</v>
      </c>
      <c r="Q10" s="1" t="n">
        <v>65.17</v>
      </c>
    </row>
    <row r="11" customFormat="false" ht="15" hidden="false" customHeight="false" outlineLevel="0" collapsed="false">
      <c r="A11" s="1" t="n">
        <v>2026</v>
      </c>
      <c r="B11" s="3" t="n">
        <v>101282932</v>
      </c>
      <c r="C11" s="3" t="n">
        <f aca="false">27366246</f>
        <v>27366246</v>
      </c>
      <c r="D11" s="3" t="n">
        <v>3618703</v>
      </c>
      <c r="E11" s="3" t="n">
        <v>37551668</v>
      </c>
      <c r="F11" s="3" t="n">
        <v>1500000</v>
      </c>
      <c r="G11" s="3" t="n">
        <f aca="false">31246315</f>
        <v>31246315</v>
      </c>
      <c r="H11" s="3" t="n">
        <v>7000000</v>
      </c>
      <c r="I11" s="1" t="n">
        <v>16104364</v>
      </c>
      <c r="J11" s="1" t="n">
        <f aca="false">K11+L11+M11</f>
        <v>234674873</v>
      </c>
      <c r="K11" s="1" t="n">
        <v>138870841</v>
      </c>
      <c r="L11" s="1" t="n">
        <v>95771889</v>
      </c>
      <c r="M11" s="1" t="n">
        <v>32143</v>
      </c>
      <c r="N11" s="1" t="n">
        <f aca="false">3000000+2500000+500000</f>
        <v>6000000</v>
      </c>
      <c r="O11" s="1" t="n">
        <f aca="false">300000+3000000+500000+500000+3000000+0+5500000+0+5600000+1500000+400000+2000000+1938329+4500000+106299+129685+0+81000+265039+1200000</f>
        <v>30520352</v>
      </c>
      <c r="P11" s="1" t="n">
        <v>4.4</v>
      </c>
      <c r="Q11" s="1" t="n">
        <v>72.44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3488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hu-HU</dc:language>
  <cp:lastModifiedBy/>
  <dcterms:modified xsi:type="dcterms:W3CDTF">2026-05-28T12:41:38Z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