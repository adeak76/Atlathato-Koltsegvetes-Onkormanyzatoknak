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<sst xmlns="http://schemas.openxmlformats.org/spreadsheetml/2006/main" count="13" uniqueCount="13">
  <si>
    <t xml:space="preserve">Év</t>
  </si>
  <si>
    <t xml:space="preserve">Összes kiadás (Ft)</t>
  </si>
  <si>
    <t xml:space="preserve">Személyi jellegű (Ft)</t>
  </si>
  <si>
    <t xml:space="preserve">Munkaadói járulék (Ft)</t>
  </si>
  <si>
    <t xml:space="preserve">Dologi kiadás (Ft)</t>
  </si>
  <si>
    <t xml:space="preserve">Pénzbeni juttatás (Ft)</t>
  </si>
  <si>
    <t xml:space="preserve">Egyéb kiadás (Ft)</t>
  </si>
  <si>
    <t xml:space="preserve">Szolidaritási hozzájárulás (Ft)</t>
  </si>
  <si>
    <t xml:space="preserve">Közös Önkormányzati Hivatal (Ft)</t>
  </si>
  <si>
    <t xml:space="preserve">Felhalmozási kiadások (Ft)</t>
  </si>
  <si>
    <t xml:space="preserve">Beruházások (Ft)</t>
  </si>
  <si>
    <t xml:space="preserve">Felújítások (Ft)</t>
  </si>
  <si>
    <t xml:space="preserve">Egyéb felhalmozási (Ft)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</si>
</sst>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  <col collapsed="false" customWidth="true" hidden="false" outlineLevel="0" max="9" min="9" style="1" width="28.65"/>
    <col collapsed="false" customWidth="true" hidden="false" outlineLevel="0" max="10" min="10" style="1" width="22.95"/>
    <col collapsed="false" customWidth="true" hidden="false" outlineLevel="0" max="11" min="11" style="1" width="15.1"/>
    <col collapsed="false" customWidth="true" hidden="false" outlineLevel="0" max="12" min="12" style="1" width="13.45"/>
    <col collapsed="false" customWidth="true" hidden="false" outlineLevel="0" max="13" min="13" style="1" width="20.5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1" t="n">
        <v>2017</v>
      </c>
      <c r="B2" s="1" t="n">
        <v>44744281</v>
      </c>
      <c r="C2" s="1" t="n">
        <f aca="false">9574941</f>
        <v>9574941</v>
      </c>
      <c r="D2" s="1" t="n">
        <v>1697031</v>
      </c>
      <c r="E2" s="1" t="n">
        <v>24035629</v>
      </c>
      <c r="F2" s="1" t="n">
        <v>1739540</v>
      </c>
      <c r="G2" s="1" t="n">
        <f aca="false">7697140</f>
        <v>7697140</v>
      </c>
      <c r="H2" s="1" t="n">
        <v>0</v>
      </c>
      <c r="I2" s="1" t="n">
        <v>5286396</v>
      </c>
      <c r="J2" s="1" t="n">
        <f aca="false">K2+L2+M2</f>
        <v>11139415</v>
      </c>
      <c r="K2" s="1" t="n">
        <v>4068489</v>
      </c>
      <c r="L2" s="1" t="n">
        <v>3895587</v>
      </c>
      <c r="M2" s="1" t="n">
        <v>3175339</v>
      </c>
    </row>
    <row r="3" customFormat="false" ht="15" hidden="false" customHeight="false" outlineLevel="0" collapsed="false">
      <c r="A3" s="1" t="n">
        <v>2018</v>
      </c>
      <c r="B3" s="1" t="n">
        <v>48251151</v>
      </c>
      <c r="C3" s="1" t="n">
        <f aca="false">9900246</f>
        <v>9900246</v>
      </c>
      <c r="D3" s="1" t="n">
        <v>1874560</v>
      </c>
      <c r="E3" s="1" t="n">
        <v>25405711</v>
      </c>
      <c r="F3" s="1" t="n">
        <v>892195</v>
      </c>
      <c r="G3" s="1" t="n">
        <f aca="false">10178439</f>
        <v>10178439</v>
      </c>
      <c r="H3" s="1" t="n">
        <v>0</v>
      </c>
      <c r="I3" s="1" t="n">
        <f aca="false">5296550+23317</f>
        <v>5319867</v>
      </c>
      <c r="J3" s="1" t="n">
        <f aca="false">K3+L3+M3</f>
        <v>17220361</v>
      </c>
      <c r="K3" s="1" t="n">
        <v>11270897</v>
      </c>
      <c r="L3" s="1" t="n">
        <v>5827939</v>
      </c>
      <c r="M3" s="1" t="n">
        <v>121525</v>
      </c>
    </row>
    <row r="4" customFormat="false" ht="15" hidden="false" customHeight="false" outlineLevel="0" collapsed="false">
      <c r="A4" s="1" t="n">
        <v>2019</v>
      </c>
      <c r="B4" s="2" t="n">
        <v>68306604</v>
      </c>
      <c r="C4" s="2" t="n">
        <f aca="false">11824225</f>
        <v>11824225</v>
      </c>
      <c r="D4" s="2" t="n">
        <v>2000000</v>
      </c>
      <c r="E4" s="2" t="n">
        <v>39157218</v>
      </c>
      <c r="F4" s="2" t="n">
        <v>2851680</v>
      </c>
      <c r="G4" s="2" t="n">
        <f aca="false">12473481</f>
        <v>12473481</v>
      </c>
      <c r="H4" s="2" t="n">
        <v>0</v>
      </c>
      <c r="I4" s="1" t="n">
        <v>6603459</v>
      </c>
      <c r="J4" s="1" t="n">
        <f aca="false">K4+L4+M4</f>
        <v>29468426</v>
      </c>
      <c r="K4" s="1" t="n">
        <v>8000137</v>
      </c>
      <c r="L4" s="1" t="n">
        <v>19491028</v>
      </c>
      <c r="M4" s="1" t="n">
        <v>1977261</v>
      </c>
    </row>
    <row r="5" customFormat="false" ht="15" hidden="false" customHeight="false" outlineLevel="0" collapsed="false">
      <c r="A5" s="1" t="n">
        <v>2020</v>
      </c>
      <c r="B5" s="2" t="n">
        <v>64319304</v>
      </c>
      <c r="C5" s="2" t="n">
        <f aca="false">16071088</f>
        <v>16071088</v>
      </c>
      <c r="D5" s="2" t="n">
        <v>2451333</v>
      </c>
      <c r="E5" s="2" t="n">
        <v>31132255</v>
      </c>
      <c r="F5" s="2" t="n">
        <v>2395000</v>
      </c>
      <c r="G5" s="2" t="n">
        <f aca="false">12269628</f>
        <v>12269628</v>
      </c>
      <c r="H5" s="2" t="n">
        <v>0</v>
      </c>
      <c r="I5" s="1" t="n">
        <v>6024579</v>
      </c>
      <c r="J5" s="1" t="n">
        <f aca="false">K5+L5+M5</f>
        <v>50690535</v>
      </c>
      <c r="K5" s="1" t="n">
        <v>25642588</v>
      </c>
      <c r="L5" s="1" t="n">
        <v>24948175</v>
      </c>
      <c r="M5" s="1" t="n">
        <v>99772</v>
      </c>
    </row>
    <row r="6" customFormat="false" ht="15" hidden="false" customHeight="false" outlineLevel="0" collapsed="false">
      <c r="A6" s="1" t="n">
        <v>2021</v>
      </c>
      <c r="B6" s="2" t="n">
        <v>84311139</v>
      </c>
      <c r="C6" s="2" t="n">
        <f aca="false">16681801</f>
        <v>16681801</v>
      </c>
      <c r="D6" s="2" t="n">
        <v>2568798</v>
      </c>
      <c r="E6" s="2" t="n">
        <v>49801716</v>
      </c>
      <c r="F6" s="2" t="n">
        <v>2065000</v>
      </c>
      <c r="G6" s="2" t="n">
        <f aca="false">13193824</f>
        <v>13193824</v>
      </c>
      <c r="H6" s="2" t="n">
        <v>0</v>
      </c>
      <c r="I6" s="1" t="n">
        <v>8196731</v>
      </c>
      <c r="J6" s="1" t="n">
        <f aca="false">K6+L6+M6</f>
        <v>24654415</v>
      </c>
      <c r="K6" s="1" t="n">
        <v>23876189</v>
      </c>
      <c r="L6" s="1" t="n">
        <v>292223</v>
      </c>
      <c r="M6" s="1" t="n">
        <v>486003</v>
      </c>
    </row>
    <row r="7" customFormat="false" ht="15" hidden="false" customHeight="false" outlineLevel="0" collapsed="false">
      <c r="A7" s="1" t="n">
        <v>2022</v>
      </c>
      <c r="B7" s="2" t="n">
        <v>85519429</v>
      </c>
      <c r="C7" s="2" t="n">
        <f aca="false">26463106</f>
        <v>26463106</v>
      </c>
      <c r="D7" s="2" t="n">
        <v>3446518</v>
      </c>
      <c r="E7" s="2" t="n">
        <v>27963929</v>
      </c>
      <c r="F7" s="2" t="n">
        <v>3370000</v>
      </c>
      <c r="G7" s="2" t="n">
        <f aca="false">24275876</f>
        <v>24275876</v>
      </c>
      <c r="H7" s="2" t="n">
        <v>0</v>
      </c>
      <c r="I7" s="1" t="n">
        <v>12263381</v>
      </c>
      <c r="J7" s="1" t="n">
        <f aca="false">K7+L7+M7</f>
        <v>27934766</v>
      </c>
      <c r="K7" s="1" t="n">
        <v>25788303</v>
      </c>
      <c r="L7" s="1" t="n">
        <v>1929869</v>
      </c>
      <c r="M7" s="1" t="n">
        <v>216594</v>
      </c>
    </row>
    <row r="8" customFormat="false" ht="15" hidden="false" customHeight="false" outlineLevel="0" collapsed="false">
      <c r="A8" s="1" t="n">
        <v>2023</v>
      </c>
      <c r="B8" s="2" t="n">
        <v>113460887</v>
      </c>
      <c r="C8" s="2" t="n">
        <f aca="false">25684446</f>
        <v>25684446</v>
      </c>
      <c r="D8" s="2" t="n">
        <v>3335818</v>
      </c>
      <c r="E8" s="2" t="n">
        <v>49057939</v>
      </c>
      <c r="F8" s="2" t="n">
        <v>2600000</v>
      </c>
      <c r="G8" s="2" t="n">
        <f aca="false">32782684</f>
        <v>32782684</v>
      </c>
      <c r="H8" s="2" t="n">
        <v>0</v>
      </c>
      <c r="I8" s="1" t="n">
        <v>13800168</v>
      </c>
      <c r="J8" s="1" t="n">
        <f aca="false">K8+L8+M8</f>
        <v>39637850</v>
      </c>
      <c r="K8" s="1" t="n">
        <v>36338404</v>
      </c>
      <c r="L8" s="1" t="n">
        <v>0</v>
      </c>
      <c r="M8" s="1" t="n">
        <v>3299446</v>
      </c>
    </row>
    <row r="9" customFormat="false" ht="15" hidden="false" customHeight="false" outlineLevel="0" collapsed="false">
      <c r="A9" s="1" t="n">
        <v>2024</v>
      </c>
      <c r="B9" s="2" t="n">
        <v>83125704</v>
      </c>
      <c r="C9" s="2" t="n">
        <f aca="false">18958523</f>
        <v>18958523</v>
      </c>
      <c r="D9" s="2" t="n">
        <v>2581900</v>
      </c>
      <c r="E9" s="2" t="n">
        <v>31738767</v>
      </c>
      <c r="F9" s="2" t="n">
        <v>2780000</v>
      </c>
      <c r="G9" s="2" t="n">
        <f aca="false">27066514</f>
        <v>27066514</v>
      </c>
      <c r="H9" s="2" t="n">
        <v>0</v>
      </c>
      <c r="I9" s="1" t="n">
        <v>15886054</v>
      </c>
      <c r="J9" s="1" t="n">
        <f aca="false">K9+L9+M9</f>
        <v>39699003</v>
      </c>
      <c r="K9" s="1" t="n">
        <v>33699468</v>
      </c>
      <c r="L9" s="1" t="n">
        <v>0</v>
      </c>
      <c r="M9" s="1" t="n">
        <v>5999535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f aca="false">25152424</f>
        <v>25152424</v>
      </c>
      <c r="D10" s="2" t="n">
        <v>3235817</v>
      </c>
      <c r="E10" s="2" t="n">
        <v>33602259</v>
      </c>
      <c r="F10" s="2" t="n">
        <v>1345000</v>
      </c>
      <c r="G10" s="2" t="n">
        <f aca="false">33588574</f>
        <v>33588574</v>
      </c>
      <c r="H10" s="2" t="n">
        <v>7000000</v>
      </c>
      <c r="I10" s="1" t="n">
        <f aca="false">17438500+4201205</f>
        <v>21639705</v>
      </c>
      <c r="J10" s="1" t="n">
        <f aca="false">K10+L10+M10</f>
        <v>31398177</v>
      </c>
      <c r="K10" s="1" t="n">
        <v>29821785</v>
      </c>
      <c r="L10" s="1" t="n">
        <v>1551392</v>
      </c>
      <c r="M10" s="1" t="n">
        <v>25000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</f>
        <v>27366246</v>
      </c>
      <c r="D11" s="2" t="n">
        <v>3618703</v>
      </c>
      <c r="E11" s="2" t="n">
        <v>37551668</v>
      </c>
      <c r="F11" s="2" t="n">
        <v>1500000</v>
      </c>
      <c r="G11" s="2" t="n">
        <f aca="false">31246315</f>
        <v>31246315</v>
      </c>
      <c r="H11" s="2" t="n">
        <v>7000000</v>
      </c>
      <c r="I11" s="1" t="n">
        <v>16104364</v>
      </c>
      <c r="J11" s="1" t="n">
        <f aca="false">K11+L11+M11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2026-03-19T18:57:28Z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